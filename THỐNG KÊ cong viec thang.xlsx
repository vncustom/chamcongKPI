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697C13E-23A2-415E-A60D-F3865DC7B1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4-2026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7" i="15" l="1"/>
  <c r="K47" i="15" s="1"/>
  <c r="K46" i="15"/>
  <c r="I45" i="15"/>
  <c r="K45" i="15" s="1"/>
  <c r="K44" i="15"/>
  <c r="I43" i="15"/>
  <c r="K43" i="15" s="1"/>
  <c r="K42" i="15"/>
  <c r="I41" i="15"/>
  <c r="K41" i="15" s="1"/>
  <c r="I40" i="15"/>
  <c r="K40" i="15" s="1"/>
  <c r="H64" i="15" l="1"/>
  <c r="I64" i="15" s="1"/>
  <c r="H63" i="15"/>
  <c r="I63" i="15" s="1"/>
  <c r="H62" i="15"/>
  <c r="I62" i="15" s="1"/>
  <c r="H61" i="15"/>
  <c r="I61" i="15" s="1"/>
  <c r="H60" i="15"/>
  <c r="I60" i="15" s="1"/>
  <c r="H59" i="15"/>
  <c r="I59" i="15" s="1"/>
  <c r="H58" i="15"/>
  <c r="I58" i="15" s="1"/>
  <c r="H57" i="15"/>
  <c r="I57" i="15" s="1"/>
  <c r="H56" i="15"/>
  <c r="I56" i="15" s="1"/>
  <c r="H55" i="15"/>
  <c r="I55" i="15" s="1"/>
  <c r="H54" i="15"/>
  <c r="I54" i="15" s="1"/>
  <c r="H53" i="15"/>
  <c r="I53" i="15" s="1"/>
  <c r="H52" i="15"/>
  <c r="I52" i="15" s="1"/>
  <c r="H51" i="15"/>
  <c r="I51" i="15" s="1"/>
  <c r="K32" i="15"/>
  <c r="K34" i="15"/>
  <c r="K38" i="15"/>
  <c r="K30" i="15"/>
  <c r="I26" i="15"/>
  <c r="K26" i="15" s="1"/>
  <c r="I27" i="15"/>
  <c r="K27" i="15" s="1"/>
  <c r="I28" i="15"/>
  <c r="K28" i="15" s="1"/>
  <c r="I12" i="15"/>
  <c r="K12" i="15" s="1"/>
  <c r="I13" i="15"/>
  <c r="K13" i="15" s="1"/>
  <c r="I14" i="15"/>
  <c r="K14" i="15" s="1"/>
  <c r="I15" i="15"/>
  <c r="K15" i="15" s="1"/>
  <c r="I16" i="15"/>
  <c r="K16" i="15" s="1"/>
  <c r="I17" i="15"/>
  <c r="K17" i="15" s="1"/>
  <c r="I18" i="15"/>
  <c r="K18" i="15" s="1"/>
  <c r="I19" i="15"/>
  <c r="K19" i="15" s="1"/>
  <c r="I20" i="15"/>
  <c r="K20" i="15" s="1"/>
  <c r="I21" i="15"/>
  <c r="K21" i="15" s="1"/>
  <c r="I22" i="15"/>
  <c r="K22" i="15" s="1"/>
  <c r="I23" i="15"/>
  <c r="K23" i="15" s="1"/>
  <c r="I24" i="15"/>
  <c r="K24" i="15" s="1"/>
  <c r="I25" i="15"/>
  <c r="K25" i="15" s="1"/>
  <c r="I39" i="15"/>
  <c r="K39" i="15" s="1"/>
  <c r="I37" i="15"/>
  <c r="K37" i="15" s="1"/>
  <c r="I35" i="15"/>
  <c r="K35" i="15" s="1"/>
  <c r="I33" i="15"/>
  <c r="K33" i="15" s="1"/>
  <c r="I31" i="15"/>
  <c r="K31" i="15" s="1"/>
  <c r="I29" i="15"/>
  <c r="K29" i="15" s="1"/>
  <c r="I11" i="15"/>
  <c r="K11" i="15" s="1"/>
  <c r="I66" i="15" l="1"/>
  <c r="I36" i="15"/>
  <c r="K36" i="15" s="1"/>
  <c r="K48" i="15" l="1"/>
  <c r="D68" i="15" s="1"/>
</calcChain>
</file>

<file path=xl/sharedStrings.xml><?xml version="1.0" encoding="utf-8"?>
<sst xmlns="http://schemas.openxmlformats.org/spreadsheetml/2006/main" count="178" uniqueCount="102">
  <si>
    <t>ĐÀI PHÁT THANH TRUYỀN HÌNH</t>
  </si>
  <si>
    <t xml:space="preserve">       THÀNH PHỐ HỒ CHÍ MINH  </t>
  </si>
  <si>
    <t>TRUNG TÂM PHÁT HÌNH-TƯ LIỆU</t>
  </si>
  <si>
    <t>I</t>
  </si>
  <si>
    <t>BỘ PHẬN THAM GIA SẢN XUẤT</t>
  </si>
  <si>
    <t>STT</t>
  </si>
  <si>
    <r>
      <t xml:space="preserve">Thể loại
</t>
    </r>
    <r>
      <rPr>
        <sz val="13"/>
        <color theme="1"/>
        <rFont val="Times New Roman"/>
        <family val="1"/>
      </rPr>
      <t>(Theo thể loại đơn vị nội dung xác định)</t>
    </r>
  </si>
  <si>
    <t>Tên chương trình</t>
  </si>
  <si>
    <t>Số lượng 
CT</t>
  </si>
  <si>
    <t>Thời lượng CT (phút)</t>
  </si>
  <si>
    <t>Vị trí việc làm</t>
  </si>
  <si>
    <t>Số người thực hiện</t>
  </si>
  <si>
    <t>Số công /người
(Số giờ/8)</t>
  </si>
  <si>
    <t>Tổng số công</t>
  </si>
  <si>
    <t>Ghi chú</t>
  </si>
  <si>
    <t>CT Thời sự tổng hợp phát Trực tiếp</t>
  </si>
  <si>
    <t>Bản tin buổi sáng</t>
  </si>
  <si>
    <t xml:space="preserve">Ekip thực hiện chương trình </t>
  </si>
  <si>
    <t>Trưởng phòng</t>
  </si>
  <si>
    <t>Bản tin 11g30</t>
  </si>
  <si>
    <t>Bản tin 20h</t>
  </si>
  <si>
    <t>Bản tin truyền hình chuyên đề</t>
  </si>
  <si>
    <t>Góc nhìn HTV</t>
  </si>
  <si>
    <t>Giao lưu trường quay ghi hình phát sau</t>
  </si>
  <si>
    <t>Dự báo kinh tế</t>
  </si>
  <si>
    <t>20-45</t>
  </si>
  <si>
    <t>CT Thời sự tổng hợp phát trực tiếp</t>
  </si>
  <si>
    <t>60 giây sáng</t>
  </si>
  <si>
    <t>60 giây chiều</t>
  </si>
  <si>
    <t>Thế giới 24h</t>
  </si>
  <si>
    <t>Bản tin truyền hình ngắn</t>
  </si>
  <si>
    <t>Thế giới 24/7</t>
  </si>
  <si>
    <t>Nhìn ra thế giới</t>
  </si>
  <si>
    <t>Thời tiết du ký</t>
  </si>
  <si>
    <t>Bản tin chuyên đề + Phóng sự tài liệu biên dịch</t>
  </si>
  <si>
    <t>Tổng kết các sự kiện thế giới</t>
  </si>
  <si>
    <t>Truyền hình trực tiếp</t>
  </si>
  <si>
    <t>BẢN TIN TRUYỀN HÌNH TRONG NƯỚC PHÁT TRỰC TIẾP</t>
  </si>
  <si>
    <t>Thể thao 365</t>
  </si>
  <si>
    <t>II</t>
  </si>
  <si>
    <t>Đầu mục công việc</t>
  </si>
  <si>
    <t>Mô tả</t>
  </si>
  <si>
    <t>Tên sản phẩm đầu ra</t>
  </si>
  <si>
    <t>SL sp
/tháng
/người</t>
  </si>
  <si>
    <t>Thời gian thực hiện/sp/người</t>
  </si>
  <si>
    <t>Số công /người
(Số giờ thực hiện : 8)</t>
  </si>
  <si>
    <t>Trực phim trường</t>
  </si>
  <si>
    <t>KTV</t>
  </si>
  <si>
    <t>Trực kỹ thuật toàn trung tâm</t>
  </si>
  <si>
    <t>Kỹ thuật cơ bản</t>
  </si>
  <si>
    <t>KS</t>
  </si>
  <si>
    <t>Trực kỹ thuật chuyên sâu</t>
  </si>
  <si>
    <t>- Đọc tài liệu, tìm hiểu hệ thống, thiết bị. 
- Tìm hiểu công nghệ mới, đề xuất các giải pháp mới
- Nghiên cứu các vấn đề Trưởng phòng và BGĐ giao
- Vẽ/ cập nhật sơ đồ</t>
  </si>
  <si>
    <t>Kỹ sư chính</t>
  </si>
  <si>
    <t>Trưởng ca</t>
  </si>
  <si>
    <t xml:space="preserve">o Kiểm tra quân số: Kiểm tra, đảm bảo ca viên có mặt đủ. 
o Nhận thông tin từ Trưởng ca trước về tình trạng máy móc, các sự cố còn tồn đọng và các lưu ý đặc biệt. Phân công ca viên giải quyết, kiểm tra và báo cáo tình hình xử lý.
o Khi có sự cố gấp, Trưởng ca là người đứng ra xử lý, chịu trách nhiệm chính. Nếu kịp thời gian thì báo cáo Giám đốc, Trưởng phòng xin ý kiến chỉ đạo trước khi giải quyết.
</t>
  </si>
  <si>
    <t>+ Hỗ trợ Trưởng phòng quản lý phòng, lên kế hoạch, dự trù mua sắm/sửa chữa thiết bị
+ Kiểm tra, giám sát, báo cáo kịp thời việc thực hiện nhiệm vụ của nhân viên 
+ Nghiên cứu, đề xuất giải pháp các vấn đề Trưởng phòng giao
+ Họp BPT hàng tuần</t>
  </si>
  <si>
    <t>Phó Trưởng phòng</t>
  </si>
  <si>
    <t>Phó Trưởng phòng có kiêm Trưởng ca</t>
  </si>
  <si>
    <t>Tăng cường - Hoàn thành xuất sắc</t>
  </si>
  <si>
    <t>Toàn bộ</t>
  </si>
  <si>
    <t>7.1</t>
  </si>
  <si>
    <t>7.2</t>
  </si>
  <si>
    <t>7.3</t>
  </si>
  <si>
    <t>Hoàn thiện quy trình, nghiên cứu phát triển</t>
  </si>
  <si>
    <t>Kiểm tra tay nghề, kiểm tra thực hiện qui trình</t>
  </si>
  <si>
    <t>Hỗ trợ tốt Trưởng phòng trong việc triển khai kế hoạch</t>
  </si>
  <si>
    <t>Giám sát, đôn đốc nhân viên thực hiện tốt nhiệm vụ</t>
  </si>
  <si>
    <t>+ Tiếp nhận các ycct
+ Triển khai và phân công công việc hàng ngày
+ Kiểm tra, giám sát việc thực hiện nhiệm vụ của nhân viên 
+ Họp và triển khai các chương trình với Các đơn vị liên quan
+ Chấm công KPI, chấm công ngày làm
+ Lên kế hoạch, dự trù mua sắm, tham mưu các vấn đề kỹ thuật cho BGĐ, thực hiện các thủ tục giấy tờ liên quan đến công việc 
+ Họp BPT hàng tuần và họp triển khai công việc với BGĐ</t>
  </si>
  <si>
    <t>Ca viên</t>
  </si>
  <si>
    <t>Tăng cường</t>
  </si>
  <si>
    <t>3.2</t>
  </si>
  <si>
    <t>3.3</t>
  </si>
  <si>
    <t>8.1</t>
  </si>
  <si>
    <t>8.2</t>
  </si>
  <si>
    <t>8.3</t>
  </si>
  <si>
    <t>Trực bản tin</t>
  </si>
  <si>
    <t>ca viên</t>
  </si>
  <si>
    <t>- Tăng cường ngoài ca
- Có nghiên cứu mới
- Hoàn thành xuất sắc nhiệm vụ</t>
  </si>
  <si>
    <t>+ giám sát phim trường: giám sát khi có người ngoài, vệ sinh thiết bị, giữ phim trường ngăn nắp gọn gàng
+ Hỗ trợ ca trực các công việc đơn giản
+ Kiểm tra tay nghề định kỳ đạt kết quả tốt
+ đảm bảo an toàn phát sóng các bản tin, các chương trình trực tiếp. Thực tập thường xuyên phương án xử lý sự cố
+ báo cáo các tình huống phát sinh ngay khi phát hiện, ngay sau mỗi chương trình trực tiếp</t>
  </si>
  <si>
    <t>Trưởng ca - THTT</t>
  </si>
  <si>
    <t>Ca viên - THTT</t>
  </si>
  <si>
    <t>Tăng cường - THTT</t>
  </si>
  <si>
    <t>+ Sửa chữa cơ bản thiết bị máy móc, cài đặt máy
+ Cập nhật virus, kiểm policy, quét virus định kỳ
+ Bảo trì, sửa chữa thiết bị, máy tính các phim trường
+ Kiểm etere
+ Đấu nối hệ thống theo yêu cầu</t>
  </si>
  <si>
    <t>THỐNG KÊ CÔNG VIỆC KỸ THUẬT THÁNG 4 - 2026</t>
  </si>
  <si>
    <t>60 giây trưa</t>
  </si>
  <si>
    <t>Ăn sạch sống khỏe (chủ nhật nghỉ)</t>
  </si>
  <si>
    <t>Số công NV/tháng</t>
  </si>
  <si>
    <t>Số công TP/tháng</t>
  </si>
  <si>
    <t>PHÁT THANH TRỰC TIẾP</t>
  </si>
  <si>
    <t>Sàn diễn đời và nghề</t>
  </si>
  <si>
    <t>Luật sư</t>
  </si>
  <si>
    <t>Bạn hữu đường xa</t>
  </si>
  <si>
    <t>PHÁT THANH THU OFF</t>
  </si>
  <si>
    <t>TỔNG CÔNG I</t>
  </si>
  <si>
    <t xml:space="preserve"> CÔNG TÁC KHÁC</t>
  </si>
  <si>
    <t>GHI CHÚ</t>
  </si>
  <si>
    <t>TỔNG CÔNG II</t>
  </si>
  <si>
    <t>Live Thể thao, pháo hoa, cầu th,.. Các Live đột xuất</t>
  </si>
  <si>
    <t>NHÂN VIÊN GHI CHÚ</t>
  </si>
  <si>
    <t>TỔNG CÔNG I+II</t>
  </si>
  <si>
    <t>Vươn khơi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</si>
</sst>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_(* #,##0_);_(* \(#,##0\);_(* &quot;-&quot;??_);_(@_)"/>
    <numFmt numFmtId="166" formatCode="#,###"/>
  </numFmts>
  <fonts count="21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b/>
      <sz val="16"/>
      <color theme="1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2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0" fontId="13" fillId="0" borderId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64" fontId="6" fillId="0" borderId="0" xfId="1" applyFont="1" applyBorder="1" applyAlignment="1">
      <alignment vertical="center" wrapText="1"/>
    </xf>
    <xf numFmtId="165" fontId="8" fillId="0" borderId="1" xfId="1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2" applyFont="1" applyBorder="1" applyAlignment="1">
      <alignment horizontal="left" vertical="center" wrapText="1"/>
    </xf>
    <xf numFmtId="164" fontId="4" fillId="0" borderId="0" xfId="0" applyNumberFormat="1" applyFont="1" applyAlignment="1">
      <alignment vertical="center"/>
    </xf>
    <xf numFmtId="0" fontId="10" fillId="0" borderId="1" xfId="0" applyFont="1" applyBorder="1" applyAlignment="1">
      <alignment vertical="center" wrapText="1"/>
    </xf>
    <xf numFmtId="165" fontId="12" fillId="0" borderId="1" xfId="1" applyNumberFormat="1" applyFont="1" applyFill="1" applyBorder="1" applyAlignment="1">
      <alignment wrapText="1"/>
    </xf>
    <xf numFmtId="165" fontId="12" fillId="0" borderId="1" xfId="1" applyNumberFormat="1" applyFont="1" applyFill="1" applyBorder="1" applyAlignment="1">
      <alignment vertical="center" wrapText="1"/>
    </xf>
    <xf numFmtId="0" fontId="12" fillId="0" borderId="1" xfId="3" applyFont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6" fontId="12" fillId="0" borderId="1" xfId="3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6" fillId="0" borderId="0" xfId="0" applyFont="1"/>
    <xf numFmtId="0" fontId="0" fillId="0" borderId="0" xfId="0" applyAlignment="1">
      <alignment vertical="center"/>
    </xf>
    <xf numFmtId="0" fontId="14" fillId="0" borderId="0" xfId="0" applyFont="1"/>
    <xf numFmtId="0" fontId="15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2" fontId="9" fillId="0" borderId="1" xfId="0" applyNumberFormat="1" applyFont="1" applyBorder="1" applyAlignment="1">
      <alignment vertical="center"/>
    </xf>
    <xf numFmtId="2" fontId="9" fillId="0" borderId="6" xfId="0" applyNumberFormat="1" applyFont="1" applyBorder="1" applyAlignment="1">
      <alignment vertical="center"/>
    </xf>
    <xf numFmtId="164" fontId="6" fillId="0" borderId="1" xfId="1" applyFont="1" applyBorder="1" applyAlignment="1">
      <alignment vertical="center" wrapText="1"/>
    </xf>
    <xf numFmtId="164" fontId="9" fillId="0" borderId="1" xfId="1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vertical="center"/>
    </xf>
    <xf numFmtId="166" fontId="11" fillId="0" borderId="1" xfId="3" quotePrefix="1" applyNumberFormat="1" applyFont="1" applyBorder="1" applyAlignment="1">
      <alignment horizontal="left" vertical="center" wrapText="1"/>
    </xf>
    <xf numFmtId="0" fontId="11" fillId="0" borderId="3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64" fontId="7" fillId="2" borderId="0" xfId="1" applyFont="1" applyFill="1" applyBorder="1" applyAlignment="1">
      <alignment vertical="center" wrapText="1"/>
    </xf>
    <xf numFmtId="164" fontId="4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66" fontId="12" fillId="0" borderId="1" xfId="3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1" xfId="3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6" fontId="12" fillId="0" borderId="1" xfId="3" applyNumberFormat="1" applyFont="1" applyBorder="1" applyAlignment="1">
      <alignment horizontal="left" vertical="center" wrapText="1"/>
    </xf>
    <xf numFmtId="164" fontId="7" fillId="0" borderId="0" xfId="1" applyFont="1" applyFill="1" applyBorder="1" applyAlignment="1">
      <alignment vertical="center" wrapText="1"/>
    </xf>
    <xf numFmtId="0" fontId="5" fillId="2" borderId="0" xfId="0" applyFont="1" applyFill="1" applyAlignment="1">
      <alignment vertical="center"/>
    </xf>
    <xf numFmtId="2" fontId="5" fillId="2" borderId="0" xfId="0" applyNumberFormat="1" applyFont="1" applyFill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164" fontId="20" fillId="3" borderId="0" xfId="0" applyNumberFormat="1" applyFont="1" applyFill="1" applyAlignment="1">
      <alignment vertical="center"/>
    </xf>
    <xf numFmtId="2" fontId="11" fillId="4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6" fontId="12" fillId="0" borderId="1" xfId="3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6" fontId="11" fillId="0" borderId="7" xfId="3" applyNumberFormat="1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6" fontId="12" fillId="0" borderId="7" xfId="3" applyNumberFormat="1" applyFont="1" applyBorder="1" applyAlignment="1">
      <alignment horizontal="left" vertical="center" wrapText="1"/>
    </xf>
    <xf numFmtId="0" fontId="4" fillId="0" borderId="7" xfId="0" quotePrefix="1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7">
    <cellStyle name="Comma 2" xfId="4" xr:uid="{00000000-0005-0000-0000-000000000000}"/>
    <cellStyle name="Comma 3" xfId="1" xr:uid="{00000000-0005-0000-0000-000001000000}"/>
    <cellStyle name="Comma 3 2" xfId="5" xr:uid="{00000000-0005-0000-0000-000002000000}"/>
    <cellStyle name="Normal" xfId="0" builtinId="0"/>
    <cellStyle name="Normal 2" xfId="3" xr:uid="{00000000-0005-0000-0000-000004000000}"/>
    <cellStyle name="Normal 3" xfId="2" xr:uid="{00000000-0005-0000-0000-000005000000}"/>
    <cellStyle name="Normal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topLeftCell="A50" zoomScale="70" zoomScaleNormal="70" workbookViewId="0">
      <selection activeCell="F54" sqref="F54"/>
    </sheetView>
  </sheetViews>
  <sheetFormatPr defaultColWidth="9.140625" defaultRowHeight="16.5" x14ac:dyDescent="0.25"/>
  <cols>
    <col min="1" max="1" width="8.85546875" style="1" customWidth="1"/>
    <col min="2" max="2" width="25.42578125" style="1" customWidth="1"/>
    <col min="3" max="3" width="42.28515625" style="1" customWidth="1"/>
    <col min="4" max="4" width="17.28515625" style="1" customWidth="1"/>
    <col min="5" max="5" width="12.85546875" style="1" customWidth="1"/>
    <col min="6" max="6" width="29.5703125" style="1" customWidth="1"/>
    <col min="7" max="7" width="24.7109375" style="1" customWidth="1"/>
    <col min="8" max="8" width="14" style="1" customWidth="1"/>
    <col min="9" max="9" width="18" style="1" customWidth="1"/>
    <col min="10" max="10" width="32.7109375" style="1" customWidth="1"/>
    <col min="11" max="11" width="39.28515625" style="1" customWidth="1"/>
    <col min="12" max="12" width="19.28515625" style="1" customWidth="1"/>
    <col min="13" max="13" width="21.42578125" style="1" customWidth="1"/>
    <col min="14" max="14" width="22.7109375" style="1" customWidth="1"/>
    <col min="15" max="15" width="21" style="1" customWidth="1"/>
    <col min="16" max="16" width="23.140625" style="1" customWidth="1"/>
    <col min="17" max="17" width="15.5703125" style="1" customWidth="1"/>
    <col min="18" max="18" width="30.5703125" style="1" customWidth="1"/>
    <col min="19" max="25" width="9.140625" style="1"/>
    <col min="26" max="26" width="13.5703125" style="1" customWidth="1"/>
    <col min="27" max="27" width="15.5703125" style="1" customWidth="1"/>
    <col min="28" max="16384" width="9.140625" style="1"/>
  </cols>
  <sheetData>
    <row r="1" spans="1:12" ht="18.75" x14ac:dyDescent="0.3">
      <c r="A1" s="18" t="s">
        <v>0</v>
      </c>
      <c r="B1"/>
      <c r="C1"/>
      <c r="D1" s="19"/>
      <c r="E1" s="19"/>
    </row>
    <row r="2" spans="1:12" ht="18.75" x14ac:dyDescent="0.3">
      <c r="A2" s="20" t="s">
        <v>1</v>
      </c>
      <c r="B2"/>
      <c r="C2"/>
      <c r="D2" s="19"/>
      <c r="E2" s="19"/>
    </row>
    <row r="3" spans="1:12" ht="18.75" x14ac:dyDescent="0.3">
      <c r="A3" s="21" t="s">
        <v>2</v>
      </c>
      <c r="B3" s="22"/>
      <c r="C3" s="23"/>
      <c r="D3" s="19"/>
      <c r="E3" s="19"/>
    </row>
    <row r="5" spans="1:12" ht="20.25" x14ac:dyDescent="0.25">
      <c r="A5" s="63" t="s">
        <v>84</v>
      </c>
      <c r="B5" s="63"/>
      <c r="C5" s="63"/>
      <c r="D5" s="63"/>
      <c r="E5" s="63"/>
      <c r="F5" s="63"/>
      <c r="G5" s="63"/>
      <c r="H5" s="63"/>
      <c r="I5" s="63"/>
      <c r="J5" s="63"/>
    </row>
    <row r="6" spans="1:12" ht="20.25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</row>
    <row r="7" spans="1:12" ht="20.25" x14ac:dyDescent="0.25">
      <c r="A7" s="54" t="s">
        <v>3</v>
      </c>
      <c r="B7" s="55" t="s">
        <v>4</v>
      </c>
      <c r="C7" s="56"/>
      <c r="D7" s="4"/>
      <c r="E7" s="4"/>
      <c r="F7" s="4"/>
      <c r="G7" s="4"/>
      <c r="H7" s="4"/>
      <c r="I7" s="4"/>
      <c r="J7" s="4"/>
    </row>
    <row r="8" spans="1:12" x14ac:dyDescent="0.25">
      <c r="D8" s="2"/>
      <c r="E8" s="2"/>
      <c r="K8" s="32"/>
      <c r="L8" s="5"/>
    </row>
    <row r="9" spans="1:12" ht="49.5" x14ac:dyDescent="0.25">
      <c r="A9" s="47" t="s">
        <v>5</v>
      </c>
      <c r="B9" s="47" t="s">
        <v>6</v>
      </c>
      <c r="C9" s="47" t="s">
        <v>7</v>
      </c>
      <c r="D9" s="47" t="s">
        <v>8</v>
      </c>
      <c r="E9" s="47" t="s">
        <v>9</v>
      </c>
      <c r="F9" s="47" t="s">
        <v>10</v>
      </c>
      <c r="G9" s="47" t="s">
        <v>11</v>
      </c>
      <c r="H9" s="47" t="s">
        <v>12</v>
      </c>
      <c r="I9" s="34" t="s">
        <v>13</v>
      </c>
      <c r="J9" s="47" t="s">
        <v>14</v>
      </c>
      <c r="K9" s="47" t="s">
        <v>87</v>
      </c>
      <c r="L9" s="47" t="s">
        <v>88</v>
      </c>
    </row>
    <row r="10" spans="1:12" ht="31.5" x14ac:dyDescent="0.25">
      <c r="A10" s="43">
        <v>1</v>
      </c>
      <c r="B10" s="6" t="s">
        <v>15</v>
      </c>
      <c r="C10" s="7" t="s">
        <v>16</v>
      </c>
      <c r="D10" s="43">
        <v>8</v>
      </c>
      <c r="E10" s="43">
        <v>30</v>
      </c>
      <c r="F10" s="8" t="s">
        <v>17</v>
      </c>
      <c r="G10" s="43"/>
      <c r="H10" s="26"/>
      <c r="I10" s="26"/>
      <c r="J10" s="10"/>
      <c r="K10" s="42"/>
      <c r="L10" s="42"/>
    </row>
    <row r="11" spans="1:12" x14ac:dyDescent="0.25">
      <c r="A11" s="29"/>
      <c r="B11" s="29"/>
      <c r="C11" s="29"/>
      <c r="D11" s="43">
        <v>8</v>
      </c>
      <c r="E11" s="29"/>
      <c r="F11" s="10" t="s">
        <v>76</v>
      </c>
      <c r="G11" s="29">
        <v>1</v>
      </c>
      <c r="H11" s="27">
        <v>0.18</v>
      </c>
      <c r="I11" s="27">
        <f t="shared" ref="I11:I28" si="0">H11*G11</f>
        <v>0.18</v>
      </c>
      <c r="J11" s="10" t="s">
        <v>77</v>
      </c>
      <c r="K11" s="42">
        <f>I11*D11</f>
        <v>1.44</v>
      </c>
      <c r="L11" s="42"/>
    </row>
    <row r="12" spans="1:12" ht="31.5" x14ac:dyDescent="0.25">
      <c r="A12" s="43">
        <v>2</v>
      </c>
      <c r="B12" s="6" t="s">
        <v>15</v>
      </c>
      <c r="C12" s="7" t="s">
        <v>19</v>
      </c>
      <c r="D12" s="43">
        <v>8</v>
      </c>
      <c r="E12" s="43">
        <v>30</v>
      </c>
      <c r="F12" s="8" t="s">
        <v>17</v>
      </c>
      <c r="G12" s="43"/>
      <c r="H12" s="26"/>
      <c r="I12" s="27">
        <f t="shared" si="0"/>
        <v>0</v>
      </c>
      <c r="J12" s="10"/>
      <c r="K12" s="42">
        <f t="shared" ref="K12:K47" si="1">I12*D12</f>
        <v>0</v>
      </c>
      <c r="L12" s="42"/>
    </row>
    <row r="13" spans="1:12" x14ac:dyDescent="0.25">
      <c r="A13" s="29"/>
      <c r="B13" s="29"/>
      <c r="C13" s="29"/>
      <c r="D13" s="43">
        <v>8</v>
      </c>
      <c r="E13" s="29"/>
      <c r="F13" s="10" t="s">
        <v>76</v>
      </c>
      <c r="G13" s="29">
        <v>1</v>
      </c>
      <c r="H13" s="27">
        <v>0.15</v>
      </c>
      <c r="I13" s="27">
        <f t="shared" si="0"/>
        <v>0.15</v>
      </c>
      <c r="J13" s="10" t="s">
        <v>77</v>
      </c>
      <c r="K13" s="42">
        <f t="shared" si="1"/>
        <v>1.2</v>
      </c>
      <c r="L13" s="42"/>
    </row>
    <row r="14" spans="1:12" ht="31.5" x14ac:dyDescent="0.25">
      <c r="A14" s="43">
        <v>3</v>
      </c>
      <c r="B14" s="6" t="s">
        <v>15</v>
      </c>
      <c r="C14" s="7" t="s">
        <v>20</v>
      </c>
      <c r="D14" s="43">
        <v>12</v>
      </c>
      <c r="E14" s="43">
        <v>30</v>
      </c>
      <c r="F14" s="8" t="s">
        <v>17</v>
      </c>
      <c r="G14" s="43"/>
      <c r="H14" s="26"/>
      <c r="I14" s="27">
        <f t="shared" si="0"/>
        <v>0</v>
      </c>
      <c r="J14" s="10"/>
      <c r="K14" s="42">
        <f t="shared" si="1"/>
        <v>0</v>
      </c>
      <c r="L14" s="42"/>
    </row>
    <row r="15" spans="1:12" x14ac:dyDescent="0.25">
      <c r="A15" s="29"/>
      <c r="B15" s="29"/>
      <c r="C15" s="29"/>
      <c r="D15" s="43">
        <v>12</v>
      </c>
      <c r="E15" s="29"/>
      <c r="F15" s="10" t="s">
        <v>76</v>
      </c>
      <c r="G15" s="29">
        <v>1</v>
      </c>
      <c r="H15" s="27">
        <v>0.25</v>
      </c>
      <c r="I15" s="27">
        <f t="shared" si="0"/>
        <v>0.25</v>
      </c>
      <c r="J15" s="10" t="s">
        <v>77</v>
      </c>
      <c r="K15" s="42">
        <f t="shared" si="1"/>
        <v>3</v>
      </c>
      <c r="L15" s="42"/>
    </row>
    <row r="16" spans="1:12" ht="31.5" x14ac:dyDescent="0.25">
      <c r="A16" s="43">
        <v>4</v>
      </c>
      <c r="B16" s="6" t="s">
        <v>21</v>
      </c>
      <c r="C16" s="7" t="s">
        <v>22</v>
      </c>
      <c r="D16" s="43">
        <v>1</v>
      </c>
      <c r="E16" s="43">
        <v>20</v>
      </c>
      <c r="F16" s="8" t="s">
        <v>17</v>
      </c>
      <c r="G16" s="43"/>
      <c r="H16" s="26"/>
      <c r="I16" s="27">
        <f t="shared" si="0"/>
        <v>0</v>
      </c>
      <c r="J16" s="10"/>
      <c r="K16" s="42">
        <f t="shared" si="1"/>
        <v>0</v>
      </c>
      <c r="L16" s="42"/>
    </row>
    <row r="17" spans="1:12" x14ac:dyDescent="0.25">
      <c r="A17" s="29"/>
      <c r="B17" s="29"/>
      <c r="C17" s="29"/>
      <c r="D17" s="43">
        <v>1</v>
      </c>
      <c r="E17" s="29"/>
      <c r="F17" s="10" t="s">
        <v>46</v>
      </c>
      <c r="G17" s="29">
        <v>1</v>
      </c>
      <c r="H17" s="27">
        <v>7.0000000000000007E-2</v>
      </c>
      <c r="I17" s="27">
        <f t="shared" si="0"/>
        <v>7.0000000000000007E-2</v>
      </c>
      <c r="J17" s="10" t="s">
        <v>77</v>
      </c>
      <c r="K17" s="42">
        <f t="shared" si="1"/>
        <v>7.0000000000000007E-2</v>
      </c>
      <c r="L17" s="42"/>
    </row>
    <row r="18" spans="1:12" ht="31.5" x14ac:dyDescent="0.25">
      <c r="A18" s="43">
        <v>5</v>
      </c>
      <c r="B18" s="6" t="s">
        <v>23</v>
      </c>
      <c r="C18" s="7" t="s">
        <v>24</v>
      </c>
      <c r="D18" s="43">
        <v>1</v>
      </c>
      <c r="E18" s="43" t="s">
        <v>25</v>
      </c>
      <c r="F18" s="8" t="s">
        <v>17</v>
      </c>
      <c r="G18" s="43"/>
      <c r="H18" s="26"/>
      <c r="I18" s="27">
        <f t="shared" si="0"/>
        <v>0</v>
      </c>
      <c r="J18" s="10"/>
      <c r="K18" s="42">
        <f t="shared" si="1"/>
        <v>0</v>
      </c>
      <c r="L18" s="42"/>
    </row>
    <row r="19" spans="1:12" x14ac:dyDescent="0.25">
      <c r="A19" s="43"/>
      <c r="B19" s="29"/>
      <c r="C19" s="29"/>
      <c r="D19" s="43">
        <v>1</v>
      </c>
      <c r="E19" s="29"/>
      <c r="F19" s="10" t="s">
        <v>46</v>
      </c>
      <c r="G19" s="29">
        <v>1</v>
      </c>
      <c r="H19" s="27">
        <v>0.1</v>
      </c>
      <c r="I19" s="27">
        <f t="shared" si="0"/>
        <v>0.1</v>
      </c>
      <c r="J19" s="10" t="s">
        <v>77</v>
      </c>
      <c r="K19" s="42">
        <f t="shared" si="1"/>
        <v>0.1</v>
      </c>
      <c r="L19" s="42"/>
    </row>
    <row r="20" spans="1:12" ht="31.5" x14ac:dyDescent="0.25">
      <c r="A20" s="39">
        <v>6</v>
      </c>
      <c r="B20" s="11" t="s">
        <v>26</v>
      </c>
      <c r="C20" s="12" t="s">
        <v>27</v>
      </c>
      <c r="D20" s="39">
        <v>8</v>
      </c>
      <c r="E20" s="39">
        <v>30</v>
      </c>
      <c r="F20" s="8" t="s">
        <v>17</v>
      </c>
      <c r="G20" s="43"/>
      <c r="H20" s="26"/>
      <c r="I20" s="27">
        <f t="shared" si="0"/>
        <v>0</v>
      </c>
      <c r="J20" s="17"/>
      <c r="K20" s="42">
        <f t="shared" si="1"/>
        <v>0</v>
      </c>
      <c r="L20" s="42"/>
    </row>
    <row r="21" spans="1:12" x14ac:dyDescent="0.25">
      <c r="A21" s="39"/>
      <c r="B21" s="3"/>
      <c r="C21" s="3"/>
      <c r="D21" s="39">
        <v>8</v>
      </c>
      <c r="E21" s="39"/>
      <c r="F21" s="10" t="s">
        <v>76</v>
      </c>
      <c r="G21" s="29">
        <v>1</v>
      </c>
      <c r="H21" s="27">
        <v>0.2</v>
      </c>
      <c r="I21" s="27">
        <f t="shared" si="0"/>
        <v>0.2</v>
      </c>
      <c r="J21" s="10" t="s">
        <v>77</v>
      </c>
      <c r="K21" s="42">
        <f t="shared" si="1"/>
        <v>1.6</v>
      </c>
      <c r="L21" s="42"/>
    </row>
    <row r="22" spans="1:12" ht="37.15" customHeight="1" x14ac:dyDescent="0.25">
      <c r="A22" s="39">
        <v>7</v>
      </c>
      <c r="B22" s="11" t="s">
        <v>26</v>
      </c>
      <c r="C22" s="12" t="s">
        <v>85</v>
      </c>
      <c r="D22" s="39">
        <v>8</v>
      </c>
      <c r="E22" s="39">
        <v>30</v>
      </c>
      <c r="F22" s="8" t="s">
        <v>17</v>
      </c>
      <c r="G22" s="43"/>
      <c r="H22" s="26"/>
      <c r="I22" s="27">
        <f t="shared" si="0"/>
        <v>0</v>
      </c>
      <c r="J22" s="17"/>
      <c r="K22" s="42">
        <f t="shared" si="1"/>
        <v>0</v>
      </c>
      <c r="L22" s="42"/>
    </row>
    <row r="23" spans="1:12" x14ac:dyDescent="0.25">
      <c r="A23" s="39"/>
      <c r="B23" s="3"/>
      <c r="C23" s="12"/>
      <c r="D23" s="39">
        <v>8</v>
      </c>
      <c r="E23" s="39"/>
      <c r="F23" s="10" t="s">
        <v>76</v>
      </c>
      <c r="G23" s="29">
        <v>1</v>
      </c>
      <c r="H23" s="27">
        <v>0.2</v>
      </c>
      <c r="I23" s="27">
        <f t="shared" si="0"/>
        <v>0.2</v>
      </c>
      <c r="J23" s="10" t="s">
        <v>77</v>
      </c>
      <c r="K23" s="42">
        <f t="shared" si="1"/>
        <v>1.6</v>
      </c>
      <c r="L23" s="42"/>
    </row>
    <row r="24" spans="1:12" ht="31.5" x14ac:dyDescent="0.25">
      <c r="A24" s="39">
        <v>8</v>
      </c>
      <c r="B24" s="11" t="s">
        <v>26</v>
      </c>
      <c r="C24" s="12" t="s">
        <v>28</v>
      </c>
      <c r="D24" s="39">
        <v>12</v>
      </c>
      <c r="E24" s="39">
        <v>30</v>
      </c>
      <c r="F24" s="8" t="s">
        <v>17</v>
      </c>
      <c r="G24" s="43"/>
      <c r="H24" s="26"/>
      <c r="I24" s="27">
        <f t="shared" si="0"/>
        <v>0</v>
      </c>
      <c r="J24" s="17"/>
      <c r="K24" s="42">
        <f t="shared" si="1"/>
        <v>0</v>
      </c>
      <c r="L24" s="42"/>
    </row>
    <row r="25" spans="1:12" x14ac:dyDescent="0.25">
      <c r="A25" s="39"/>
      <c r="B25" s="3"/>
      <c r="C25" s="3"/>
      <c r="D25" s="39">
        <v>12</v>
      </c>
      <c r="E25" s="39"/>
      <c r="F25" s="10" t="s">
        <v>76</v>
      </c>
      <c r="G25" s="29">
        <v>1</v>
      </c>
      <c r="H25" s="27">
        <v>0.2</v>
      </c>
      <c r="I25" s="27">
        <f t="shared" si="0"/>
        <v>0.2</v>
      </c>
      <c r="J25" s="10" t="s">
        <v>77</v>
      </c>
      <c r="K25" s="42">
        <f t="shared" si="1"/>
        <v>2.4000000000000004</v>
      </c>
      <c r="L25" s="42"/>
    </row>
    <row r="26" spans="1:12" ht="31.5" x14ac:dyDescent="0.25">
      <c r="A26" s="39">
        <v>9</v>
      </c>
      <c r="B26" s="11" t="s">
        <v>26</v>
      </c>
      <c r="C26" s="12" t="s">
        <v>29</v>
      </c>
      <c r="D26" s="39">
        <v>12</v>
      </c>
      <c r="E26" s="39">
        <v>12</v>
      </c>
      <c r="F26" s="8" t="s">
        <v>17</v>
      </c>
      <c r="G26" s="43"/>
      <c r="H26" s="26"/>
      <c r="I26" s="27">
        <f t="shared" si="0"/>
        <v>0</v>
      </c>
      <c r="J26" s="48"/>
      <c r="K26" s="42">
        <f t="shared" si="1"/>
        <v>0</v>
      </c>
      <c r="L26" s="42"/>
    </row>
    <row r="27" spans="1:12" x14ac:dyDescent="0.25">
      <c r="A27" s="39"/>
      <c r="B27" s="3"/>
      <c r="C27" s="12"/>
      <c r="D27" s="39">
        <v>12</v>
      </c>
      <c r="E27" s="30"/>
      <c r="F27" s="10" t="s">
        <v>76</v>
      </c>
      <c r="G27" s="29">
        <v>1</v>
      </c>
      <c r="H27" s="27">
        <v>0.12</v>
      </c>
      <c r="I27" s="27">
        <f t="shared" si="0"/>
        <v>0.12</v>
      </c>
      <c r="J27" s="10" t="s">
        <v>77</v>
      </c>
      <c r="K27" s="42">
        <f t="shared" si="1"/>
        <v>1.44</v>
      </c>
      <c r="L27" s="42"/>
    </row>
    <row r="28" spans="1:12" ht="28.9" customHeight="1" x14ac:dyDescent="0.25">
      <c r="A28" s="39">
        <v>10</v>
      </c>
      <c r="B28" s="12" t="s">
        <v>30</v>
      </c>
      <c r="C28" s="44" t="s">
        <v>31</v>
      </c>
      <c r="D28" s="30">
        <v>1</v>
      </c>
      <c r="E28" s="30">
        <v>6</v>
      </c>
      <c r="F28" s="8" t="s">
        <v>17</v>
      </c>
      <c r="G28" s="43"/>
      <c r="H28" s="26"/>
      <c r="I28" s="27">
        <f t="shared" si="0"/>
        <v>0</v>
      </c>
      <c r="J28" s="17"/>
      <c r="K28" s="42">
        <f t="shared" si="1"/>
        <v>0</v>
      </c>
      <c r="L28" s="42"/>
    </row>
    <row r="29" spans="1:12" x14ac:dyDescent="0.25">
      <c r="A29" s="39"/>
      <c r="B29" s="3"/>
      <c r="C29" s="3"/>
      <c r="D29" s="30">
        <v>1</v>
      </c>
      <c r="E29" s="30"/>
      <c r="F29" s="10" t="s">
        <v>46</v>
      </c>
      <c r="G29" s="29">
        <v>1</v>
      </c>
      <c r="H29" s="27">
        <v>0.04</v>
      </c>
      <c r="I29" s="27">
        <f>G29*H29</f>
        <v>0.04</v>
      </c>
      <c r="J29" s="10" t="s">
        <v>77</v>
      </c>
      <c r="K29" s="42">
        <f t="shared" si="1"/>
        <v>0.04</v>
      </c>
      <c r="L29" s="42"/>
    </row>
    <row r="30" spans="1:12" ht="30.6" customHeight="1" x14ac:dyDescent="0.25">
      <c r="A30" s="39">
        <v>11</v>
      </c>
      <c r="B30" s="12" t="s">
        <v>30</v>
      </c>
      <c r="C30" s="44" t="s">
        <v>32</v>
      </c>
      <c r="D30" s="30">
        <v>5</v>
      </c>
      <c r="E30" s="14">
        <v>7</v>
      </c>
      <c r="F30" s="8" t="s">
        <v>17</v>
      </c>
      <c r="G30" s="43"/>
      <c r="H30" s="26"/>
      <c r="I30" s="26"/>
      <c r="J30" s="17"/>
      <c r="K30" s="42">
        <f t="shared" si="1"/>
        <v>0</v>
      </c>
      <c r="L30" s="42"/>
    </row>
    <row r="31" spans="1:12" x14ac:dyDescent="0.25">
      <c r="A31" s="3"/>
      <c r="B31" s="3"/>
      <c r="C31" s="3"/>
      <c r="D31" s="30">
        <v>5</v>
      </c>
      <c r="E31" s="30"/>
      <c r="F31" s="10" t="s">
        <v>46</v>
      </c>
      <c r="G31" s="29">
        <v>1</v>
      </c>
      <c r="H31" s="27">
        <v>0.04</v>
      </c>
      <c r="I31" s="27">
        <f>G31*H31</f>
        <v>0.04</v>
      </c>
      <c r="J31" s="10" t="s">
        <v>77</v>
      </c>
      <c r="K31" s="42">
        <f t="shared" si="1"/>
        <v>0.2</v>
      </c>
      <c r="L31" s="42"/>
    </row>
    <row r="32" spans="1:12" ht="34.15" customHeight="1" x14ac:dyDescent="0.25">
      <c r="A32" s="39">
        <v>12</v>
      </c>
      <c r="B32" s="12" t="s">
        <v>30</v>
      </c>
      <c r="C32" s="44" t="s">
        <v>33</v>
      </c>
      <c r="D32" s="13">
        <v>10</v>
      </c>
      <c r="E32" s="14">
        <v>3</v>
      </c>
      <c r="F32" s="8" t="s">
        <v>17</v>
      </c>
      <c r="G32" s="43"/>
      <c r="H32" s="26"/>
      <c r="I32" s="26"/>
      <c r="J32" s="17"/>
      <c r="K32" s="42">
        <f t="shared" si="1"/>
        <v>0</v>
      </c>
      <c r="L32" s="42"/>
    </row>
    <row r="33" spans="1:13" x14ac:dyDescent="0.25">
      <c r="A33" s="39"/>
      <c r="B33" s="3"/>
      <c r="C33" s="3"/>
      <c r="D33" s="13">
        <v>10</v>
      </c>
      <c r="E33" s="30"/>
      <c r="F33" s="10" t="s">
        <v>46</v>
      </c>
      <c r="G33" s="29">
        <v>1</v>
      </c>
      <c r="H33" s="27">
        <v>0.02</v>
      </c>
      <c r="I33" s="27">
        <f>G33*H33</f>
        <v>0.02</v>
      </c>
      <c r="J33" s="10" t="s">
        <v>77</v>
      </c>
      <c r="K33" s="42">
        <f t="shared" si="1"/>
        <v>0.2</v>
      </c>
      <c r="L33" s="42"/>
    </row>
    <row r="34" spans="1:13" ht="34.9" customHeight="1" x14ac:dyDescent="0.25">
      <c r="A34" s="39">
        <v>13</v>
      </c>
      <c r="B34" s="12" t="s">
        <v>30</v>
      </c>
      <c r="C34" s="44" t="s">
        <v>86</v>
      </c>
      <c r="D34" s="13">
        <v>12</v>
      </c>
      <c r="E34" s="14">
        <v>5</v>
      </c>
      <c r="F34" s="8" t="s">
        <v>17</v>
      </c>
      <c r="G34" s="43"/>
      <c r="H34" s="26"/>
      <c r="I34" s="26"/>
      <c r="J34" s="17"/>
      <c r="K34" s="42">
        <f t="shared" si="1"/>
        <v>0</v>
      </c>
      <c r="L34" s="42"/>
    </row>
    <row r="35" spans="1:13" x14ac:dyDescent="0.25">
      <c r="A35" s="39"/>
      <c r="B35" s="3"/>
      <c r="C35" s="3"/>
      <c r="D35" s="13">
        <v>12</v>
      </c>
      <c r="E35" s="30"/>
      <c r="F35" s="10" t="s">
        <v>46</v>
      </c>
      <c r="G35" s="29">
        <v>1</v>
      </c>
      <c r="H35" s="27">
        <v>0.03</v>
      </c>
      <c r="I35" s="27">
        <f>G35*H35</f>
        <v>0.03</v>
      </c>
      <c r="J35" s="10" t="s">
        <v>77</v>
      </c>
      <c r="K35" s="42">
        <f t="shared" si="1"/>
        <v>0.36</v>
      </c>
      <c r="L35" s="42"/>
    </row>
    <row r="36" spans="1:13" ht="47.25" x14ac:dyDescent="0.25">
      <c r="A36" s="39">
        <v>14</v>
      </c>
      <c r="B36" s="44" t="s">
        <v>34</v>
      </c>
      <c r="C36" s="44" t="s">
        <v>35</v>
      </c>
      <c r="D36" s="30">
        <v>0</v>
      </c>
      <c r="E36" s="30">
        <v>60</v>
      </c>
      <c r="F36" s="8" t="s">
        <v>17</v>
      </c>
      <c r="G36" s="43"/>
      <c r="H36" s="26"/>
      <c r="I36" s="26">
        <f>SUBTOTAL(9,I37:I37)</f>
        <v>0</v>
      </c>
      <c r="J36" s="17"/>
      <c r="K36" s="42">
        <f t="shared" si="1"/>
        <v>0</v>
      </c>
      <c r="L36" s="42"/>
    </row>
    <row r="37" spans="1:13" x14ac:dyDescent="0.25">
      <c r="A37" s="39"/>
      <c r="B37" s="3"/>
      <c r="C37" s="3"/>
      <c r="D37" s="30">
        <v>0</v>
      </c>
      <c r="E37" s="30"/>
      <c r="F37" s="10" t="s">
        <v>46</v>
      </c>
      <c r="G37" s="31">
        <v>0</v>
      </c>
      <c r="H37" s="27">
        <v>0.5</v>
      </c>
      <c r="I37" s="27">
        <f>G37*H37</f>
        <v>0</v>
      </c>
      <c r="J37" s="10" t="s">
        <v>77</v>
      </c>
      <c r="K37" s="42">
        <f t="shared" si="1"/>
        <v>0</v>
      </c>
      <c r="L37" s="42"/>
    </row>
    <row r="38" spans="1:13" ht="58.9" customHeight="1" x14ac:dyDescent="0.25">
      <c r="A38" s="16">
        <v>15</v>
      </c>
      <c r="B38" s="44" t="s">
        <v>37</v>
      </c>
      <c r="C38" s="44" t="s">
        <v>38</v>
      </c>
      <c r="D38" s="30">
        <v>12</v>
      </c>
      <c r="E38" s="30">
        <v>10</v>
      </c>
      <c r="F38" s="8" t="s">
        <v>17</v>
      </c>
      <c r="G38" s="43"/>
      <c r="H38" s="26"/>
      <c r="I38" s="26"/>
      <c r="J38" s="17"/>
      <c r="K38" s="42">
        <f t="shared" si="1"/>
        <v>0</v>
      </c>
      <c r="L38" s="42"/>
    </row>
    <row r="39" spans="1:13" x14ac:dyDescent="0.25">
      <c r="A39" s="39"/>
      <c r="B39" s="3"/>
      <c r="C39" s="3"/>
      <c r="D39" s="30">
        <v>12</v>
      </c>
      <c r="E39" s="30"/>
      <c r="F39" s="10" t="s">
        <v>76</v>
      </c>
      <c r="G39" s="31">
        <v>1</v>
      </c>
      <c r="H39" s="27">
        <v>0.13</v>
      </c>
      <c r="I39" s="27">
        <f t="shared" ref="I39" si="2">G39*H39</f>
        <v>0.13</v>
      </c>
      <c r="J39" s="10" t="s">
        <v>77</v>
      </c>
      <c r="K39" s="42">
        <f t="shared" si="1"/>
        <v>1.56</v>
      </c>
      <c r="L39" s="42"/>
      <c r="M39" s="9"/>
    </row>
    <row r="40" spans="1:13" ht="31.5" x14ac:dyDescent="0.25">
      <c r="A40" s="43">
        <v>16</v>
      </c>
      <c r="B40" s="6" t="s">
        <v>21</v>
      </c>
      <c r="C40" s="7" t="s">
        <v>101</v>
      </c>
      <c r="D40" s="43">
        <v>8</v>
      </c>
      <c r="E40" s="29">
        <v>30</v>
      </c>
      <c r="F40" s="8" t="s">
        <v>17</v>
      </c>
      <c r="G40" s="43"/>
      <c r="H40" s="26"/>
      <c r="I40" s="27">
        <f t="shared" ref="I40:I41" si="3">H40*G40</f>
        <v>0</v>
      </c>
      <c r="J40" s="10"/>
      <c r="K40" s="42">
        <f t="shared" si="1"/>
        <v>0</v>
      </c>
      <c r="L40" s="42"/>
    </row>
    <row r="41" spans="1:13" x14ac:dyDescent="0.25">
      <c r="A41" s="29"/>
      <c r="B41" s="29"/>
      <c r="C41" s="29"/>
      <c r="D41" s="29">
        <v>8</v>
      </c>
      <c r="E41" s="29"/>
      <c r="F41" s="10" t="s">
        <v>46</v>
      </c>
      <c r="G41" s="29">
        <v>1</v>
      </c>
      <c r="H41" s="27">
        <v>0.09</v>
      </c>
      <c r="I41" s="27">
        <f t="shared" si="3"/>
        <v>0.09</v>
      </c>
      <c r="J41" s="10" t="s">
        <v>77</v>
      </c>
      <c r="K41" s="42">
        <f t="shared" si="1"/>
        <v>0.72</v>
      </c>
      <c r="L41" s="42"/>
    </row>
    <row r="42" spans="1:13" ht="31.5" x14ac:dyDescent="0.25">
      <c r="A42" s="16">
        <v>17</v>
      </c>
      <c r="B42" s="50" t="s">
        <v>89</v>
      </c>
      <c r="C42" s="50" t="s">
        <v>90</v>
      </c>
      <c r="D42" s="30">
        <v>0</v>
      </c>
      <c r="E42" s="30">
        <v>60</v>
      </c>
      <c r="F42" s="8" t="s">
        <v>17</v>
      </c>
      <c r="G42" s="43"/>
      <c r="H42" s="26"/>
      <c r="I42" s="26"/>
      <c r="J42" s="17"/>
      <c r="K42" s="42">
        <f t="shared" si="1"/>
        <v>0</v>
      </c>
      <c r="L42" s="42"/>
      <c r="M42" s="9"/>
    </row>
    <row r="43" spans="1:13" x14ac:dyDescent="0.25">
      <c r="A43" s="39"/>
      <c r="B43" s="3"/>
      <c r="C43" s="3"/>
      <c r="D43" s="30">
        <v>0</v>
      </c>
      <c r="E43" s="30"/>
      <c r="F43" s="10" t="s">
        <v>76</v>
      </c>
      <c r="G43" s="31">
        <v>1</v>
      </c>
      <c r="H43" s="27">
        <v>0.22</v>
      </c>
      <c r="I43" s="27">
        <f t="shared" ref="I43" si="4">G43*H43</f>
        <v>0.22</v>
      </c>
      <c r="J43" s="10" t="s">
        <v>77</v>
      </c>
      <c r="K43" s="42">
        <f t="shared" si="1"/>
        <v>0</v>
      </c>
      <c r="L43" s="42"/>
    </row>
    <row r="44" spans="1:13" ht="28.9" customHeight="1" x14ac:dyDescent="0.25">
      <c r="A44" s="16">
        <v>18</v>
      </c>
      <c r="B44" s="50" t="s">
        <v>93</v>
      </c>
      <c r="C44" s="50" t="s">
        <v>91</v>
      </c>
      <c r="D44" s="30">
        <v>0</v>
      </c>
      <c r="E44" s="30">
        <v>30</v>
      </c>
      <c r="F44" s="8" t="s">
        <v>17</v>
      </c>
      <c r="G44" s="43"/>
      <c r="H44" s="26"/>
      <c r="I44" s="26"/>
      <c r="J44" s="17"/>
      <c r="K44" s="42">
        <f t="shared" si="1"/>
        <v>0</v>
      </c>
      <c r="L44" s="42"/>
    </row>
    <row r="45" spans="1:13" x14ac:dyDescent="0.25">
      <c r="A45" s="39"/>
      <c r="B45" s="3"/>
      <c r="C45" s="3"/>
      <c r="D45" s="30">
        <v>0</v>
      </c>
      <c r="E45" s="30"/>
      <c r="F45" s="10" t="s">
        <v>76</v>
      </c>
      <c r="G45" s="31">
        <v>1</v>
      </c>
      <c r="H45" s="27">
        <v>0.15</v>
      </c>
      <c r="I45" s="27">
        <f t="shared" ref="I45" si="5">G45*H45</f>
        <v>0.15</v>
      </c>
      <c r="J45" s="10" t="s">
        <v>77</v>
      </c>
      <c r="K45" s="42">
        <f t="shared" si="1"/>
        <v>0</v>
      </c>
      <c r="L45" s="42"/>
    </row>
    <row r="46" spans="1:13" ht="31.5" x14ac:dyDescent="0.25">
      <c r="A46" s="16">
        <v>19</v>
      </c>
      <c r="B46" s="50" t="s">
        <v>89</v>
      </c>
      <c r="C46" s="50" t="s">
        <v>92</v>
      </c>
      <c r="D46" s="30">
        <v>0</v>
      </c>
      <c r="E46" s="30">
        <v>60</v>
      </c>
      <c r="F46" s="8" t="s">
        <v>17</v>
      </c>
      <c r="G46" s="43"/>
      <c r="H46" s="26"/>
      <c r="I46" s="26"/>
      <c r="J46" s="17"/>
      <c r="K46" s="42">
        <f t="shared" si="1"/>
        <v>0</v>
      </c>
      <c r="L46" s="42"/>
    </row>
    <row r="47" spans="1:13" x14ac:dyDescent="0.25">
      <c r="A47" s="39"/>
      <c r="B47" s="3"/>
      <c r="C47" s="3"/>
      <c r="D47" s="30">
        <v>0</v>
      </c>
      <c r="E47" s="30"/>
      <c r="F47" s="10" t="s">
        <v>76</v>
      </c>
      <c r="G47" s="31">
        <v>1</v>
      </c>
      <c r="H47" s="27">
        <v>0.22</v>
      </c>
      <c r="I47" s="27">
        <f t="shared" ref="I47" si="6">G47*H47</f>
        <v>0.22</v>
      </c>
      <c r="J47" s="10" t="s">
        <v>77</v>
      </c>
      <c r="K47" s="42">
        <f t="shared" si="1"/>
        <v>0</v>
      </c>
      <c r="L47" s="42"/>
    </row>
    <row r="48" spans="1:13" ht="40.15" customHeight="1" x14ac:dyDescent="0.25">
      <c r="J48" s="41" t="s">
        <v>94</v>
      </c>
      <c r="K48" s="41">
        <f>SUM(K11:K47)</f>
        <v>15.929999999999998</v>
      </c>
      <c r="L48" s="41"/>
    </row>
    <row r="49" spans="1:11" ht="20.25" x14ac:dyDescent="0.25">
      <c r="A49" s="57" t="s">
        <v>39</v>
      </c>
      <c r="B49" s="57" t="s">
        <v>95</v>
      </c>
      <c r="C49" s="40"/>
      <c r="D49" s="40"/>
      <c r="E49" s="40"/>
      <c r="F49" s="40"/>
    </row>
    <row r="50" spans="1:11" ht="73.150000000000006" customHeight="1" x14ac:dyDescent="0.25">
      <c r="A50" s="48" t="s">
        <v>5</v>
      </c>
      <c r="B50" s="48" t="s">
        <v>40</v>
      </c>
      <c r="C50" s="48" t="s">
        <v>41</v>
      </c>
      <c r="D50" s="48" t="s">
        <v>42</v>
      </c>
      <c r="E50" s="48" t="s">
        <v>43</v>
      </c>
      <c r="F50" s="48" t="s">
        <v>44</v>
      </c>
      <c r="G50" s="48" t="s">
        <v>11</v>
      </c>
      <c r="H50" s="48" t="s">
        <v>45</v>
      </c>
      <c r="I50" s="35" t="s">
        <v>13</v>
      </c>
      <c r="J50" s="36" t="s">
        <v>96</v>
      </c>
      <c r="K50" s="36" t="s">
        <v>99</v>
      </c>
    </row>
    <row r="51" spans="1:11" ht="180" customHeight="1" x14ac:dyDescent="0.25">
      <c r="A51" s="33">
        <v>1</v>
      </c>
      <c r="B51" s="44" t="s">
        <v>46</v>
      </c>
      <c r="C51" s="38" t="s">
        <v>79</v>
      </c>
      <c r="D51" s="46" t="s">
        <v>46</v>
      </c>
      <c r="E51" s="45">
        <v>20</v>
      </c>
      <c r="F51" s="45">
        <v>4.41</v>
      </c>
      <c r="G51" s="45">
        <v>1</v>
      </c>
      <c r="H51" s="24">
        <f t="shared" ref="H51:H64" si="7">F51/8</f>
        <v>0.55125000000000002</v>
      </c>
      <c r="I51" s="25">
        <f t="shared" ref="I51:I64" si="8">H51*G51*E51</f>
        <v>11.025</v>
      </c>
      <c r="J51" s="28" t="s">
        <v>47</v>
      </c>
      <c r="K51" s="36"/>
    </row>
    <row r="52" spans="1:11" ht="60" customHeight="1" x14ac:dyDescent="0.25">
      <c r="A52" s="33">
        <v>2</v>
      </c>
      <c r="B52" s="44" t="s">
        <v>59</v>
      </c>
      <c r="C52" s="38" t="s">
        <v>78</v>
      </c>
      <c r="D52" s="46" t="s">
        <v>59</v>
      </c>
      <c r="E52" s="45">
        <v>0</v>
      </c>
      <c r="F52" s="45">
        <v>4</v>
      </c>
      <c r="G52" s="45">
        <v>1</v>
      </c>
      <c r="H52" s="24">
        <f t="shared" si="7"/>
        <v>0.5</v>
      </c>
      <c r="I52" s="25">
        <f t="shared" si="8"/>
        <v>0</v>
      </c>
      <c r="J52" s="28" t="s">
        <v>60</v>
      </c>
      <c r="K52" s="61"/>
    </row>
    <row r="53" spans="1:11" ht="31.5" x14ac:dyDescent="0.25">
      <c r="A53" s="33">
        <v>3.1</v>
      </c>
      <c r="B53" s="69" t="s">
        <v>36</v>
      </c>
      <c r="C53" s="38" t="s">
        <v>54</v>
      </c>
      <c r="D53" s="38" t="s">
        <v>80</v>
      </c>
      <c r="E53" s="45">
        <v>0</v>
      </c>
      <c r="F53" s="45">
        <v>2.4</v>
      </c>
      <c r="G53" s="45">
        <v>1</v>
      </c>
      <c r="H53" s="24">
        <f t="shared" si="7"/>
        <v>0.3</v>
      </c>
      <c r="I53" s="25">
        <f t="shared" si="8"/>
        <v>0</v>
      </c>
      <c r="J53" s="70" t="s">
        <v>98</v>
      </c>
    </row>
    <row r="54" spans="1:11" ht="18.75" x14ac:dyDescent="0.25">
      <c r="A54" s="33" t="s">
        <v>71</v>
      </c>
      <c r="B54" s="67"/>
      <c r="C54" s="38" t="s">
        <v>69</v>
      </c>
      <c r="D54" s="38" t="s">
        <v>81</v>
      </c>
      <c r="E54" s="45">
        <v>0</v>
      </c>
      <c r="F54" s="45">
        <v>2</v>
      </c>
      <c r="G54" s="45">
        <v>1</v>
      </c>
      <c r="H54" s="24">
        <f t="shared" si="7"/>
        <v>0.25</v>
      </c>
      <c r="I54" s="25">
        <f t="shared" si="8"/>
        <v>0</v>
      </c>
      <c r="J54" s="71"/>
      <c r="K54" s="61"/>
    </row>
    <row r="55" spans="1:11" ht="31.5" x14ac:dyDescent="0.25">
      <c r="A55" s="33" t="s">
        <v>72</v>
      </c>
      <c r="B55" s="68"/>
      <c r="C55" s="38" t="s">
        <v>70</v>
      </c>
      <c r="D55" s="38" t="s">
        <v>82</v>
      </c>
      <c r="E55" s="45">
        <v>0</v>
      </c>
      <c r="F55" s="45">
        <v>2</v>
      </c>
      <c r="G55" s="45">
        <v>1</v>
      </c>
      <c r="H55" s="24">
        <f t="shared" si="7"/>
        <v>0.25</v>
      </c>
      <c r="I55" s="25">
        <f t="shared" si="8"/>
        <v>0</v>
      </c>
      <c r="J55" s="72"/>
      <c r="K55" s="61"/>
    </row>
    <row r="56" spans="1:11" ht="126" x14ac:dyDescent="0.25">
      <c r="A56" s="33">
        <v>4</v>
      </c>
      <c r="B56" s="44" t="s">
        <v>48</v>
      </c>
      <c r="C56" s="37" t="s">
        <v>83</v>
      </c>
      <c r="D56" s="46" t="s">
        <v>49</v>
      </c>
      <c r="E56" s="15">
        <v>20</v>
      </c>
      <c r="F56" s="15">
        <v>1.23</v>
      </c>
      <c r="G56" s="45">
        <v>1</v>
      </c>
      <c r="H56" s="24">
        <f t="shared" si="7"/>
        <v>0.15375</v>
      </c>
      <c r="I56" s="25">
        <f t="shared" si="8"/>
        <v>3.0750000000000002</v>
      </c>
      <c r="J56" s="28" t="s">
        <v>50</v>
      </c>
      <c r="K56" s="61"/>
    </row>
    <row r="57" spans="1:11" ht="94.5" x14ac:dyDescent="0.25">
      <c r="A57" s="33">
        <v>5</v>
      </c>
      <c r="B57" s="44" t="s">
        <v>51</v>
      </c>
      <c r="C57" s="37" t="s">
        <v>52</v>
      </c>
      <c r="D57" s="46" t="s">
        <v>53</v>
      </c>
      <c r="E57" s="15">
        <v>20</v>
      </c>
      <c r="F57" s="15">
        <v>1.23</v>
      </c>
      <c r="G57" s="45">
        <v>1</v>
      </c>
      <c r="H57" s="24">
        <f t="shared" si="7"/>
        <v>0.15375</v>
      </c>
      <c r="I57" s="25">
        <f t="shared" si="8"/>
        <v>3.0750000000000002</v>
      </c>
      <c r="J57" s="28" t="s">
        <v>53</v>
      </c>
      <c r="K57" s="61"/>
    </row>
    <row r="58" spans="1:11" ht="173.25" x14ac:dyDescent="0.25">
      <c r="A58" s="33">
        <v>6</v>
      </c>
      <c r="B58" s="44" t="s">
        <v>54</v>
      </c>
      <c r="C58" s="37" t="s">
        <v>55</v>
      </c>
      <c r="D58" s="46" t="s">
        <v>54</v>
      </c>
      <c r="E58" s="15">
        <v>20</v>
      </c>
      <c r="F58" s="15">
        <v>1.24</v>
      </c>
      <c r="G58" s="62">
        <v>1</v>
      </c>
      <c r="H58" s="24">
        <f t="shared" si="7"/>
        <v>0.155</v>
      </c>
      <c r="I58" s="25">
        <f t="shared" si="8"/>
        <v>3.1</v>
      </c>
      <c r="J58" s="46" t="s">
        <v>54</v>
      </c>
      <c r="K58" s="61"/>
    </row>
    <row r="59" spans="1:11" ht="110.25" x14ac:dyDescent="0.25">
      <c r="A59" s="33" t="s">
        <v>61</v>
      </c>
      <c r="B59" s="69" t="s">
        <v>57</v>
      </c>
      <c r="C59" s="37" t="s">
        <v>56</v>
      </c>
      <c r="D59" s="66" t="s">
        <v>57</v>
      </c>
      <c r="E59" s="15">
        <v>15</v>
      </c>
      <c r="F59" s="15">
        <v>1.1499999999999999</v>
      </c>
      <c r="G59" s="45">
        <v>1</v>
      </c>
      <c r="H59" s="24">
        <f t="shared" si="7"/>
        <v>0.14374999999999999</v>
      </c>
      <c r="I59" s="25">
        <f t="shared" si="8"/>
        <v>2.15625</v>
      </c>
      <c r="J59" s="66" t="s">
        <v>58</v>
      </c>
      <c r="K59" s="61"/>
    </row>
    <row r="60" spans="1:11" ht="31.5" x14ac:dyDescent="0.25">
      <c r="A60" s="33" t="s">
        <v>62</v>
      </c>
      <c r="B60" s="67"/>
      <c r="C60" s="37" t="s">
        <v>66</v>
      </c>
      <c r="D60" s="67"/>
      <c r="E60" s="15">
        <v>1</v>
      </c>
      <c r="F60" s="15">
        <v>16</v>
      </c>
      <c r="G60" s="45">
        <v>1</v>
      </c>
      <c r="H60" s="24">
        <f t="shared" si="7"/>
        <v>2</v>
      </c>
      <c r="I60" s="25">
        <f t="shared" si="8"/>
        <v>2</v>
      </c>
      <c r="J60" s="67"/>
      <c r="K60" s="61"/>
    </row>
    <row r="61" spans="1:11" ht="31.5" x14ac:dyDescent="0.25">
      <c r="A61" s="33" t="s">
        <v>63</v>
      </c>
      <c r="B61" s="68"/>
      <c r="C61" s="37" t="s">
        <v>67</v>
      </c>
      <c r="D61" s="68"/>
      <c r="E61" s="15">
        <v>1</v>
      </c>
      <c r="F61" s="15">
        <v>16</v>
      </c>
      <c r="G61" s="45">
        <v>1</v>
      </c>
      <c r="H61" s="24">
        <f t="shared" si="7"/>
        <v>2</v>
      </c>
      <c r="I61" s="25">
        <f t="shared" si="8"/>
        <v>2</v>
      </c>
      <c r="J61" s="68"/>
      <c r="K61" s="61"/>
    </row>
    <row r="62" spans="1:11" ht="204.75" x14ac:dyDescent="0.25">
      <c r="A62" s="33" t="s">
        <v>73</v>
      </c>
      <c r="B62" s="64" t="s">
        <v>18</v>
      </c>
      <c r="C62" s="37" t="s">
        <v>68</v>
      </c>
      <c r="D62" s="66" t="s">
        <v>18</v>
      </c>
      <c r="E62" s="15">
        <v>22</v>
      </c>
      <c r="F62" s="15">
        <v>10.56</v>
      </c>
      <c r="G62" s="45">
        <v>0</v>
      </c>
      <c r="H62" s="24">
        <f t="shared" si="7"/>
        <v>1.32</v>
      </c>
      <c r="I62" s="25">
        <f t="shared" si="8"/>
        <v>0</v>
      </c>
      <c r="J62" s="66" t="s">
        <v>18</v>
      </c>
      <c r="K62" s="61"/>
    </row>
    <row r="63" spans="1:11" ht="25.15" customHeight="1" x14ac:dyDescent="0.25">
      <c r="A63" s="33" t="s">
        <v>74</v>
      </c>
      <c r="B63" s="65"/>
      <c r="C63" s="37" t="s">
        <v>64</v>
      </c>
      <c r="D63" s="67"/>
      <c r="E63" s="15">
        <v>1</v>
      </c>
      <c r="F63" s="15">
        <v>16</v>
      </c>
      <c r="G63" s="45">
        <v>0</v>
      </c>
      <c r="H63" s="24">
        <f t="shared" si="7"/>
        <v>2</v>
      </c>
      <c r="I63" s="25">
        <f t="shared" si="8"/>
        <v>0</v>
      </c>
      <c r="J63" s="67"/>
      <c r="K63" s="61"/>
    </row>
    <row r="64" spans="1:11" ht="40.15" customHeight="1" x14ac:dyDescent="0.25">
      <c r="A64" s="33" t="s">
        <v>75</v>
      </c>
      <c r="B64" s="65"/>
      <c r="C64" s="37" t="s">
        <v>65</v>
      </c>
      <c r="D64" s="68"/>
      <c r="E64" s="15">
        <v>1</v>
      </c>
      <c r="F64" s="15">
        <v>16</v>
      </c>
      <c r="G64" s="45">
        <v>0</v>
      </c>
      <c r="H64" s="24">
        <f t="shared" si="7"/>
        <v>2</v>
      </c>
      <c r="I64" s="25">
        <f t="shared" si="8"/>
        <v>0</v>
      </c>
      <c r="J64" s="68"/>
      <c r="K64" s="61"/>
    </row>
    <row r="66" spans="3:12" ht="20.25" x14ac:dyDescent="0.25">
      <c r="D66" s="58"/>
      <c r="E66" s="58"/>
      <c r="F66" s="58"/>
      <c r="G66" s="41" t="s">
        <v>97</v>
      </c>
      <c r="H66" s="52"/>
      <c r="I66" s="53">
        <f>SUM(I51:I64)</f>
        <v>26.431250000000002</v>
      </c>
      <c r="K66" s="51"/>
      <c r="L66" s="51"/>
    </row>
    <row r="68" spans="3:12" ht="41.45" customHeight="1" x14ac:dyDescent="0.25">
      <c r="C68" s="59" t="s">
        <v>100</v>
      </c>
      <c r="D68" s="60">
        <f>I66+K48</f>
        <v>42.361249999999998</v>
      </c>
    </row>
  </sheetData>
  <mergeCells count="9">
    <mergeCell ref="A5:J5"/>
    <mergeCell ref="B62:B64"/>
    <mergeCell ref="D62:D64"/>
    <mergeCell ref="J62:J64"/>
    <mergeCell ref="B53:B55"/>
    <mergeCell ref="J53:J55"/>
    <mergeCell ref="B59:B61"/>
    <mergeCell ref="D59:D61"/>
    <mergeCell ref="J59:J61"/>
  </mergeCells>
  <pageMargins left="0.42" right="0.26" top="0.21" bottom="0.26" header="0.3" footer="0.3"/>
  <pageSetup paperSize="9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t4-2026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Thi Mai</dc:creator>
  <cp:keywords/>
  <dc:description/>
  <cp:lastModifiedBy>Admin</cp:lastModifiedBy>
  <cp:revision/>
  <cp:lastPrinted>2026-06-27T22:23:57Z</cp:lastPrinted>
  <dcterms:created xsi:type="dcterms:W3CDTF">2025-12-11T07:10:43Z</dcterms:created>
  <dcterms:modified xsi:type="dcterms:W3CDTF">2026-07-04T10:35:46Z</dcterms:modified>
  <cp:category/>
  <cp:contentStatus/>
</cp:coreProperties>
</file>